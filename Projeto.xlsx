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ra.quintanilha\Desktop\"/>
    </mc:Choice>
  </mc:AlternateContent>
  <xr:revisionPtr revIDLastSave="0" documentId="8_{115E7E03-827A-4156-9880-1760A7D97E21}" xr6:coauthVersionLast="47" xr6:coauthVersionMax="47" xr10:uidLastSave="{00000000-0000-0000-0000-000000000000}"/>
  <bookViews>
    <workbookView xWindow="-120" yWindow="-120" windowWidth="24240" windowHeight="13020" xr2:uid="{15C29D58-4D94-43AF-A906-1A514E680A95}"/>
  </bookViews>
  <sheets>
    <sheet name="Planilha1" sheetId="1" r:id="rId1"/>
  </sheets>
  <definedNames>
    <definedName name="Aporte">Planilha1!$D$19</definedName>
    <definedName name="patrimonio">Planilha1!$D$22</definedName>
    <definedName name="qnt_mensal">Planilha1!$D$21</definedName>
    <definedName name="qtd_anos">Planilha1!$D$20</definedName>
    <definedName name="rendimento_carteira">Planilha1!$D$14</definedName>
    <definedName name="salario">Planilha1!$D$13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22" i="1"/>
  <c r="D23" i="1" s="1"/>
  <c r="C26" i="1" a="1"/>
  <c r="C26" i="1" s="1"/>
  <c r="D26" i="1" s="1"/>
  <c r="D30" i="1" l="1"/>
  <c r="D29" i="1"/>
  <c r="D28" i="1"/>
  <c r="D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<sst xmlns="http://schemas.openxmlformats.org/spreadsheetml/2006/main" count="17" uniqueCount="17">
  <si>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</si>
  <si>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</si>
  <si>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</si>
  <si>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</si>
  <si>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</si>
  <si>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</si>
  <si>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</si>
  <si>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</si>
  <si>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</si>
  <si>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</si>
  <si>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</si>
  <si>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DIVIDENDOS</t>
  </si>
  <si>
    <t>CENÁRIOS</t>
  </si>
  <si>
    <t>Rendimento Carteira</t>
  </si>
  <si>
    <t>Salário</t>
  </si>
  <si>
    <t>Sugestão de Investimento</t>
  </si>
  <si>
    <t>CONFIGURAÇÕES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</si>
</sst>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7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/>
      <bottom style="medium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4" borderId="0" xfId="0" applyFont="1" applyFill="1"/>
    <xf numFmtId="0" fontId="5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165" fontId="0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8" fontId="2" fillId="3" borderId="10" xfId="0" applyNumberFormat="1" applyFont="1" applyFill="1" applyBorder="1" applyAlignment="1">
      <alignment horizontal="center" vertical="center"/>
    </xf>
    <xf numFmtId="8" fontId="2" fillId="3" borderId="13" xfId="0" applyNumberFormat="1" applyFont="1" applyFill="1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8" fontId="0" fillId="3" borderId="4" xfId="0" applyNumberFormat="1" applyFill="1" applyBorder="1"/>
    <xf numFmtId="8" fontId="0" fillId="3" borderId="15" xfId="0" applyNumberFormat="1" applyFill="1" applyBorder="1"/>
    <xf numFmtId="8" fontId="0" fillId="3" borderId="5" xfId="0" applyNumberFormat="1" applyFill="1" applyBorder="1"/>
    <xf numFmtId="8" fontId="0" fillId="3" borderId="10" xfId="0" applyNumberFormat="1" applyFill="1" applyBorder="1"/>
    <xf numFmtId="8" fontId="0" fillId="3" borderId="12" xfId="0" applyNumberFormat="1" applyFill="1" applyBorder="1"/>
    <xf numFmtId="8" fontId="0" fillId="3" borderId="13" xfId="0" applyNumberFormat="1" applyFill="1" applyBorder="1"/>
    <xf numFmtId="0" fontId="0" fillId="3" borderId="14" xfId="0" applyFill="1" applyBorder="1" applyAlignment="1">
      <alignment horizontal="left" indent="1"/>
    </xf>
    <xf numFmtId="0" fontId="0" fillId="3" borderId="4" xfId="0" applyFill="1" applyBorder="1" applyAlignment="1">
      <alignment horizontal="left" indent="1"/>
    </xf>
    <xf numFmtId="0" fontId="0" fillId="3" borderId="9" xfId="0" applyFill="1" applyBorder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2" fillId="3" borderId="9" xfId="0" applyFont="1" applyFill="1" applyBorder="1" applyAlignment="1">
      <alignment horizontal="left" indent="1"/>
    </xf>
    <xf numFmtId="0" fontId="2" fillId="3" borderId="5" xfId="0" applyFont="1" applyFill="1" applyBorder="1" applyAlignment="1">
      <alignment horizontal="left" indent="1"/>
    </xf>
    <xf numFmtId="0" fontId="2" fillId="3" borderId="11" xfId="0" applyFont="1" applyFill="1" applyBorder="1" applyAlignment="1">
      <alignment horizontal="left" indent="1"/>
    </xf>
    <xf numFmtId="0" fontId="2" fillId="3" borderId="12" xfId="0" applyFont="1" applyFill="1" applyBorder="1" applyAlignment="1">
      <alignment horizontal="left" indent="1"/>
    </xf>
    <xf numFmtId="0" fontId="0" fillId="3" borderId="14" xfId="0" applyFill="1" applyBorder="1" applyAlignment="1">
      <alignment horizontal="left" indent="1"/>
    </xf>
    <xf numFmtId="0" fontId="0" fillId="3" borderId="9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0</xdr:rowOff>
    </xdr:from>
    <xdr:to>
      <xdr:col>16383</xdr:col>
      <xdr:colOff>190499</xdr:colOff>
      <xdr:row>10</xdr:row>
      <xdr:rowOff>60614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F11F109-4506-8903-F0E4-7223B5A5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3" y="0"/>
          <a:ext cx="5515841" cy="196561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A2E4-7817-4CC7-9657-6F278707F33A}">
  <dimension ref="A11:XFD35"/>
  <sheetViews>
    <sheetView showGridLines="0" tabSelected="1" zoomScale="110" zoomScaleNormal="110" workbookViewId="0">
      <selection activeCell="C27" sqref="C27"/>
    </sheetView>
  </sheetViews>
  <sheetFormatPr defaultColWidth="0" defaultRowHeight="15" x14ac:dyDescent="0.25"/>
  <cols>
    <col min="1" max="1" width="1.85546875" customWidth="1"/>
    <col min="2" max="2" width="26" customWidth="1"/>
    <col min="3" max="3" width="27.42578125" customWidth="1"/>
    <col min="4" max="4" width="27" customWidth="1"/>
    <col min="5" max="5" width="36.28515625" hidden="1" customWidth="1"/>
    <col min="6" max="6" width="13.85546875" hidden="1" customWidth="1"/>
    <col min="7" max="7" width="12.140625" hidden="1" customWidth="1"/>
    <col min="8" max="8" width="9.140625" hidden="1" customWidth="1"/>
    <col min="9" max="16383" width="9.140625" hidden="1"/>
    <col min="16384" max="16384" width="6.140625" customWidth="1"/>
  </cols>
  <sheetData>
    <row r="11" spans="2:4" ht="15.75" thickBot="1" x14ac:dyDescent="0.3"/>
    <row r="12" spans="2:4" ht="21" x14ac:dyDescent="0.25">
      <c r="B12" s="6" t="s">
        <v>16</v>
      </c>
      <c r="C12" s="7"/>
      <c r="D12" s="8"/>
    </row>
    <row r="13" spans="2:4" ht="15.75" thickBot="1" x14ac:dyDescent="0.3">
      <c r="B13" s="26" t="s">
        <v>14</v>
      </c>
      <c r="C13" s="27"/>
      <c r="D13" s="17">
        <v>2900</v>
      </c>
    </row>
    <row r="14" spans="2:4" ht="15.75" thickBot="1" x14ac:dyDescent="0.3">
      <c r="B14" s="28" t="s">
        <v>13</v>
      </c>
      <c r="C14" s="29"/>
      <c r="D14" s="18">
        <v>0.01</v>
      </c>
    </row>
    <row r="15" spans="2:4" ht="15.75" thickBot="1" x14ac:dyDescent="0.3">
      <c r="B15" s="30" t="s">
        <v>15</v>
      </c>
      <c r="C15" s="31"/>
      <c r="D15" s="19">
        <f>salario*30%</f>
        <v>870</v>
      </c>
    </row>
    <row r="17" spans="1:5" ht="15.75" thickBot="1" x14ac:dyDescent="0.3"/>
    <row r="18" spans="1:5" ht="31.5" customHeight="1" thickBot="1" x14ac:dyDescent="0.3">
      <c r="B18" s="9" t="s">
        <v>5</v>
      </c>
      <c r="C18" s="10"/>
      <c r="D18" s="11"/>
    </row>
    <row r="19" spans="1:5" ht="15.75" thickBot="1" x14ac:dyDescent="0.3">
      <c r="B19" s="32" t="s">
        <v>0</v>
      </c>
      <c r="C19" s="33"/>
      <c r="D19" s="12">
        <v>85</v>
      </c>
    </row>
    <row r="20" spans="1:5" ht="15.75" thickBot="1" x14ac:dyDescent="0.3">
      <c r="B20" s="32" t="s">
        <v>1</v>
      </c>
      <c r="C20" s="33"/>
      <c r="D20" s="13">
        <v>4</v>
      </c>
    </row>
    <row r="21" spans="1:5" ht="15.75" thickBot="1" x14ac:dyDescent="0.3">
      <c r="B21" s="32" t="s">
        <v>2</v>
      </c>
      <c r="C21" s="33"/>
      <c r="D21" s="14">
        <v>1.0789999999999999E-2</v>
      </c>
    </row>
    <row r="22" spans="1:5" ht="15.75" thickBot="1" x14ac:dyDescent="0.3">
      <c r="B22" s="34" t="s">
        <v>3</v>
      </c>
      <c r="C22" s="35"/>
      <c r="D22" s="15">
        <f>FV(qnt_mensal,qtd_anos*12,Aporte*-1)</f>
        <v>5308.6200042868631</v>
      </c>
    </row>
    <row r="23" spans="1:5" ht="15.75" thickBot="1" x14ac:dyDescent="0.3">
      <c r="B23" s="36" t="s">
        <v>4</v>
      </c>
      <c r="C23" s="37"/>
      <c r="D23" s="16">
        <f>patrimonio*1%</f>
        <v>53.086200042868633</v>
      </c>
    </row>
    <row r="24" spans="1:5" ht="15.75" thickBot="1" x14ac:dyDescent="0.3"/>
    <row r="25" spans="1:5" ht="22.5" x14ac:dyDescent="0.25">
      <c r="B25" s="1" t="s">
        <v>12</v>
      </c>
      <c r="C25" s="5"/>
      <c r="D25" s="4" t="s">
        <v>11</v>
      </c>
    </row>
    <row r="26" spans="1:5" ht="15.75" thickBot="1" x14ac:dyDescent="0.3">
      <c r="A26" s="3">
        <v>2</v>
      </c>
      <c r="B26" s="38" t="s">
        <v>6</v>
      </c>
      <c r="C26" s="20" cm="1">
        <f t="array" ref="C26:C30">FV($D$21,A$26:A$30*12,D19*-1)</f>
        <v>2314.3483202998436</v>
      </c>
      <c r="D26" s="21">
        <f>C26*rendimento_carteira</f>
        <v>23.143483202998436</v>
      </c>
    </row>
    <row r="27" spans="1:5" ht="15.75" thickBot="1" x14ac:dyDescent="0.3">
      <c r="A27" s="3">
        <v>5</v>
      </c>
      <c r="B27" s="39" t="s">
        <v>7</v>
      </c>
      <c r="C27" s="22">
        <v>7121.0376898714494</v>
      </c>
      <c r="D27" s="23">
        <f>C27*rendimento_carteira</f>
        <v>71.2103768987145</v>
      </c>
    </row>
    <row r="28" spans="1:5" ht="15.75" thickBot="1" x14ac:dyDescent="0.3">
      <c r="A28" s="3">
        <v>10</v>
      </c>
      <c r="B28" s="39" t="s">
        <v>8</v>
      </c>
      <c r="C28" s="22">
        <v>20679.158065064636</v>
      </c>
      <c r="D28" s="23">
        <f>C28*rendimento_carteira</f>
        <v>206.79158065064635</v>
      </c>
    </row>
    <row r="29" spans="1:5" ht="15.75" thickBot="1" x14ac:dyDescent="0.3">
      <c r="A29" s="3">
        <v>20</v>
      </c>
      <c r="B29" s="39" t="s">
        <v>9</v>
      </c>
      <c r="C29" s="22">
        <v>95641.864008251854</v>
      </c>
      <c r="D29" s="23">
        <f>C29*rendimento_carteira</f>
        <v>956.41864008251855</v>
      </c>
    </row>
    <row r="30" spans="1:5" ht="15.75" thickBot="1" x14ac:dyDescent="0.3">
      <c r="A30" s="3">
        <v>30</v>
      </c>
      <c r="B30" s="40" t="s">
        <v>10</v>
      </c>
      <c r="C30" s="24">
        <v>367384.42067540076</v>
      </c>
      <c r="D30" s="25">
        <f>C30*rendimento_carteira</f>
        <v>3673.8442067540077</v>
      </c>
    </row>
    <row r="31" spans="1:5" x14ac:dyDescent="0.25">
      <c r="E31" s="2"/>
    </row>
    <row r="33" customFormat="1" x14ac:dyDescent="0.25"/>
    <row r="34" customFormat="1" x14ac:dyDescent="0.25"/>
    <row r="35" customFormat="1" x14ac:dyDescent="0.25"/>
  </sheetData>
  <mergeCells count="11">
    <mergeCell ref="B20:C20"/>
    <mergeCell ref="B21:C21"/>
    <mergeCell ref="B22:C22"/>
    <mergeCell ref="B23:C23"/>
    <mergeCell ref="B25:C25"/>
    <mergeCell ref="B12:C12"/>
    <mergeCell ref="B13:C13"/>
    <mergeCell ref="B14:C14"/>
    <mergeCell ref="B15:C15"/>
    <mergeCell ref="B18:D18"/>
    <mergeCell ref="B19:C1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Planilha1</vt:lpstr>
      <vt:lpstr>Aporte</vt:lpstr>
      <vt:lpstr>patrimonio</vt:lpstr>
      <vt:lpstr>qnt_mensal</vt:lpstr>
      <vt:lpstr>qtd_anos</vt:lpstr>
      <vt:lpstr>rendimento_carteira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Backoffice Socinal</dc:creator>
  <cp:lastModifiedBy>Backoffice Socinal</cp:lastModifiedBy>
  <dcterms:created xsi:type="dcterms:W3CDTF">2026-01-21T13:48:51Z</dcterms:created>
  <dcterms:modified xsi:type="dcterms:W3CDTF">2026-01-21T16:31:38Z</dcterms:modified>
</cp:coreProperties>
</file>